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主计划" sheetId="1" r:id="rId1"/>
    <sheet name="延期原因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<sst xmlns="http://schemas.openxmlformats.org/spreadsheetml/2006/main" count="211" uniqueCount="140">
  <si>
    <t>P9301A （M931) 项目计划进度表</t>
  </si>
  <si>
    <t>阶段</t>
  </si>
  <si>
    <t>项目关键节点</t>
  </si>
  <si>
    <t>周期/天</t>
  </si>
  <si>
    <t>计划启动时间</t>
  </si>
  <si>
    <t>计划完成时间</t>
  </si>
  <si>
    <t>实际启动时间</t>
  </si>
  <si>
    <t>实际完成时间</t>
  </si>
  <si>
    <t>责任人</t>
  </si>
  <si>
    <t>备注</t>
  </si>
  <si>
    <t>DR阶段</t>
  </si>
  <si>
    <t>kick-off</t>
  </si>
  <si>
    <t>项目组</t>
  </si>
  <si>
    <t>Kick off标志: ID确认，平台资料已拿到，客户规格书确认，项目正式立项启动；否则影响后续工作开展</t>
  </si>
  <si>
    <t>项目立项</t>
  </si>
  <si>
    <t>2D、原理图设计、布局</t>
  </si>
  <si>
    <t>陈聪/崔四霞</t>
  </si>
  <si>
    <t>结构堆叠12/5最终确认</t>
  </si>
  <si>
    <t>结构设计、评审、修改</t>
  </si>
  <si>
    <t>黄辉/常文</t>
  </si>
  <si>
    <t>手板制作、天线无源调试；四大件（屏/摄像头/指纹/电池）资料输出</t>
  </si>
  <si>
    <t>layout、仿真、评审</t>
  </si>
  <si>
    <t>崔四霞</t>
  </si>
  <si>
    <t>V1.0 PCB发板、EQ</t>
  </si>
  <si>
    <t>1/5完成EQ制仮</t>
  </si>
  <si>
    <t>V1.0 PCB制板</t>
  </si>
  <si>
    <t>向桂春/四霞</t>
  </si>
  <si>
    <t>初步确认1/21回板</t>
  </si>
  <si>
    <t>V1.0 SMT BOM输出</t>
  </si>
  <si>
    <t>陈聪</t>
  </si>
  <si>
    <t>结构器件选型</t>
  </si>
  <si>
    <t>刘玉萍</t>
  </si>
  <si>
    <t>MD与模厂评审</t>
  </si>
  <si>
    <t>黄辉</t>
  </si>
  <si>
    <t>提前输出三大件打样资料</t>
  </si>
  <si>
    <t>MD修改/客户评审</t>
  </si>
  <si>
    <t>客户评审1/4完成，1/5开始投模</t>
  </si>
  <si>
    <t>研发结构设计手板制作</t>
  </si>
  <si>
    <t>/</t>
  </si>
  <si>
    <t>结合内部评估，暂不需要安排结构手板天线调试</t>
  </si>
  <si>
    <t>天线调试</t>
  </si>
  <si>
    <t>朱锐彪</t>
  </si>
  <si>
    <t>T0</t>
  </si>
  <si>
    <t>投模</t>
  </si>
  <si>
    <t>模厂与客户评审1/4完成，1/5开始投模</t>
  </si>
  <si>
    <t>四大件打样</t>
  </si>
  <si>
    <t>龙小容</t>
  </si>
  <si>
    <t>长周期物料需提前安排打样</t>
  </si>
  <si>
    <t>电子料2D图纸释放</t>
  </si>
  <si>
    <t>产品2D图纸释放</t>
  </si>
  <si>
    <t>模具制作</t>
  </si>
  <si>
    <t>V1.0 M-BOM输出</t>
  </si>
  <si>
    <t>T0备料</t>
  </si>
  <si>
    <t>龙小容/黄辉</t>
  </si>
  <si>
    <t>需提前较长时间风险备料。</t>
  </si>
  <si>
    <t>模具T0检讨及壳料制作</t>
  </si>
  <si>
    <t>V1.0 SMT</t>
  </si>
  <si>
    <t>吴菲</t>
  </si>
  <si>
    <t>工程组T0装样机</t>
  </si>
  <si>
    <t>T0装机20台</t>
  </si>
  <si>
    <t>天线调试及测试</t>
  </si>
  <si>
    <t>朱锐彪/王斌坚</t>
  </si>
  <si>
    <t>春节假期15天</t>
  </si>
  <si>
    <t>可靠性摸底</t>
  </si>
  <si>
    <t>胡威</t>
  </si>
  <si>
    <t>可靠性评估及模具修改</t>
  </si>
  <si>
    <t>V1.0  驱动调试</t>
  </si>
  <si>
    <t>张明/钟强</t>
  </si>
  <si>
    <t>V1.0 硬件射频调试</t>
  </si>
  <si>
    <t>蔡辉宏</t>
  </si>
  <si>
    <t>PCBA 硬件测试</t>
  </si>
  <si>
    <t>陈聪/蔡辉宏</t>
  </si>
  <si>
    <t>V1 评审&amp;改板</t>
  </si>
  <si>
    <t>EVT</t>
  </si>
  <si>
    <t>V2.0 PCB发板</t>
  </si>
  <si>
    <t>崔四霞/陈聪</t>
  </si>
  <si>
    <t>V2.0  PCB SMT</t>
  </si>
  <si>
    <t>吴菲/陈聪</t>
  </si>
  <si>
    <t>V2.0 PCBA验证</t>
  </si>
  <si>
    <t>EVT 贴片物料备料</t>
  </si>
  <si>
    <t>PMC+采购</t>
  </si>
  <si>
    <t>EVT贴片</t>
  </si>
  <si>
    <t>PMC</t>
  </si>
  <si>
    <t>EVT试制组装物料备料</t>
  </si>
  <si>
    <t>长周期四大件物料随T0物料一起备原材料</t>
  </si>
  <si>
    <t>试产SOP输出</t>
  </si>
  <si>
    <t>程志勇</t>
  </si>
  <si>
    <t>EVT 试产开工会</t>
  </si>
  <si>
    <t>EVT 试产组装</t>
  </si>
  <si>
    <t>EVT 可靠性测试</t>
  </si>
  <si>
    <t>五一假期3天</t>
  </si>
  <si>
    <t>可靠性改善复测</t>
  </si>
  <si>
    <t>EVT 软硬件测试</t>
  </si>
  <si>
    <t>葛昌盛&amp;陈娜</t>
  </si>
  <si>
    <t>表面温升测试方案制定</t>
  </si>
  <si>
    <t>葛昌盛</t>
  </si>
  <si>
    <t>EVT进阶评审</t>
  </si>
  <si>
    <t>DVT1</t>
  </si>
  <si>
    <t>V3 PCB发板</t>
  </si>
  <si>
    <t>V3 PCB SMT</t>
  </si>
  <si>
    <t>DVT试制备料</t>
  </si>
  <si>
    <t>DVT 试产开工会</t>
  </si>
  <si>
    <t>DVT1 试产组装</t>
  </si>
  <si>
    <t>DVT 可靠性回归测试</t>
  </si>
  <si>
    <t>DVT 软硬件测试</t>
  </si>
  <si>
    <t>表面温升方案验证确定</t>
  </si>
  <si>
    <t>长周期的认证送测</t>
  </si>
  <si>
    <t>余兴翠</t>
  </si>
  <si>
    <t>先送长周期</t>
  </si>
  <si>
    <t>DVT1进阶DVT2评审</t>
  </si>
  <si>
    <t>常文</t>
  </si>
  <si>
    <t>DVT2</t>
  </si>
  <si>
    <t>V3.1 PCB发板</t>
  </si>
  <si>
    <t>V3.1 PCB SMT</t>
  </si>
  <si>
    <t>DVT2 试产开工会</t>
  </si>
  <si>
    <t>DVT2 试产组装</t>
  </si>
  <si>
    <t>DVT2 可靠性回归测试</t>
  </si>
  <si>
    <t>DVT2 软硬件测试</t>
  </si>
  <si>
    <t>认证送测</t>
  </si>
  <si>
    <t>DVT2进阶PVT评审</t>
  </si>
  <si>
    <t>启动量产签样</t>
  </si>
  <si>
    <t>PVT/MP</t>
  </si>
  <si>
    <t>MP  SMT BOM评审输出</t>
  </si>
  <si>
    <t>MP组装BOM评审输出</t>
  </si>
  <si>
    <t>MP（PCB）备料下单</t>
  </si>
  <si>
    <t>备量产光板</t>
  </si>
  <si>
    <t>MP备料（四大件）</t>
  </si>
  <si>
    <t>提前风险备电芯+后摄+LCM</t>
  </si>
  <si>
    <r>
      <rPr>
        <sz val="10"/>
        <color theme="1"/>
        <rFont val="微软雅黑"/>
        <charset val="134"/>
      </rPr>
      <t>MP</t>
    </r>
    <r>
      <rPr>
        <sz val="10"/>
        <rFont val="微软雅黑"/>
        <charset val="134"/>
      </rPr>
      <t>备料（结构料）</t>
    </r>
  </si>
  <si>
    <t>根据BOM下整个物料订单，以临时样备料</t>
  </si>
  <si>
    <t>MP物料齐套</t>
  </si>
  <si>
    <t>PVT SMT</t>
  </si>
  <si>
    <t>PVT生产前会议</t>
  </si>
  <si>
    <t>PVT包装SOP输出</t>
  </si>
  <si>
    <t>赵丹</t>
  </si>
  <si>
    <t>PVT生产</t>
  </si>
  <si>
    <t>PVT回归测试</t>
  </si>
  <si>
    <t>PVT转量产进阶评审</t>
  </si>
  <si>
    <t>MP量产出货</t>
  </si>
  <si>
    <t>根据订单安排生产周期，国庆假期7天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</si>
</sst>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￥-804]#,##0.00;[Red][$￥-804]#,##0.00"/>
  </numFmts>
  <fonts count="33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indexed="8"/>
      <name val="微软雅黑"/>
      <charset val="134"/>
    </font>
    <font>
      <b/>
      <sz val="12"/>
      <name val="微软雅黑"/>
      <charset val="134"/>
    </font>
    <font>
      <b/>
      <sz val="10"/>
      <color theme="1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7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9" borderId="15" applyNumberFormat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10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0" borderId="0"/>
    <xf numFmtId="0" fontId="32" fillId="0" borderId="0"/>
    <xf numFmtId="0" fontId="0" fillId="0" borderId="0"/>
    <xf numFmtId="176" fontId="32" fillId="0" borderId="0"/>
    <xf numFmtId="0" fontId="0" fillId="0" borderId="0" applyBorder="0"/>
    <xf numFmtId="0" fontId="0" fillId="0" borderId="0"/>
    <xf numFmtId="0" fontId="0" fillId="0" borderId="0">
      <alignment vertical="center"/>
    </xf>
    <xf numFmtId="0" fontId="0" fillId="0" borderId="0"/>
  </cellStyleXfs>
  <cellXfs count="8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Continuous" vertical="center" wrapText="1"/>
    </xf>
    <xf numFmtId="0" fontId="6" fillId="0" borderId="2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4" fontId="7" fillId="3" borderId="5" xfId="0" applyNumberFormat="1" applyFont="1" applyFill="1" applyBorder="1" applyAlignment="1">
      <alignment horizontal="center" vertical="center" wrapText="1"/>
    </xf>
    <xf numFmtId="14" fontId="7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Continuous" vertical="center" wrapText="1"/>
    </xf>
    <xf numFmtId="0" fontId="6" fillId="0" borderId="6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4" fontId="7" fillId="4" borderId="5" xfId="0" applyNumberFormat="1" applyFont="1" applyFill="1" applyBorder="1" applyAlignment="1">
      <alignment horizontal="center" vertical="center" wrapText="1"/>
    </xf>
    <xf numFmtId="14" fontId="7" fillId="4" borderId="4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Continuous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14" fontId="7" fillId="5" borderId="5" xfId="0" applyNumberFormat="1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14" fontId="7" fillId="0" borderId="5" xfId="0" applyNumberFormat="1" applyFont="1" applyFill="1" applyBorder="1" applyAlignment="1">
      <alignment horizontal="center" vertical="center" wrapText="1"/>
    </xf>
    <xf numFmtId="14" fontId="9" fillId="5" borderId="5" xfId="0" applyNumberFormat="1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center" vertical="center"/>
    </xf>
    <xf numFmtId="0" fontId="6" fillId="0" borderId="9" xfId="0" applyNumberFormat="1" applyFont="1" applyFill="1" applyBorder="1" applyAlignment="1">
      <alignment horizontal="center" vertical="center"/>
    </xf>
    <xf numFmtId="14" fontId="9" fillId="6" borderId="5" xfId="0" applyNumberFormat="1" applyFont="1" applyFill="1" applyBorder="1" applyAlignment="1">
      <alignment horizontal="center" vertical="center" wrapText="1"/>
    </xf>
    <xf numFmtId="14" fontId="7" fillId="6" borderId="5" xfId="0" applyNumberFormat="1" applyFont="1" applyFill="1" applyBorder="1" applyAlignment="1">
      <alignment horizontal="center" vertical="center" wrapText="1"/>
    </xf>
    <xf numFmtId="14" fontId="7" fillId="6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4" fontId="7" fillId="0" borderId="4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14" fontId="9" fillId="0" borderId="5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4" fontId="10" fillId="3" borderId="5" xfId="0" applyNumberFormat="1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left" vertical="center" wrapText="1"/>
    </xf>
    <xf numFmtId="58" fontId="10" fillId="5" borderId="5" xfId="0" applyNumberFormat="1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58" fontId="7" fillId="5" borderId="5" xfId="0" applyNumberFormat="1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9" fillId="0" borderId="5" xfId="0" applyNumberFormat="1" applyFont="1" applyFill="1" applyBorder="1" applyAlignment="1">
      <alignment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10" fillId="5" borderId="8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14" fontId="9" fillId="3" borderId="5" xfId="0" applyNumberFormat="1" applyFont="1" applyFill="1" applyBorder="1" applyAlignment="1">
      <alignment horizontal="center" vertical="center" wrapText="1"/>
    </xf>
    <xf numFmtId="0" fontId="8" fillId="4" borderId="3" xfId="52" applyFont="1" applyFill="1" applyBorder="1" applyAlignment="1">
      <alignment horizontal="center" vertical="center"/>
    </xf>
    <xf numFmtId="0" fontId="8" fillId="4" borderId="5" xfId="52" applyFont="1" applyFill="1" applyBorder="1" applyAlignment="1">
      <alignment horizontal="center" vertical="center"/>
    </xf>
    <xf numFmtId="14" fontId="8" fillId="4" borderId="5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5" borderId="3" xfId="52" applyFont="1" applyFill="1" applyBorder="1" applyAlignment="1">
      <alignment horizontal="center" vertical="center"/>
    </xf>
    <xf numFmtId="0" fontId="9" fillId="5" borderId="5" xfId="52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1" fillId="5" borderId="5" xfId="0" applyFont="1" applyFill="1" applyBorder="1" applyAlignment="1">
      <alignment horizontal="left"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Normal 2 2" xfId="50"/>
    <cellStyle name="样式 1 2" xfId="51"/>
    <cellStyle name="0,0_x000d__x000a_NA_x000d__x000a_ 13" xfId="52"/>
    <cellStyle name="常规 61" xfId="53"/>
    <cellStyle name="3232" xfId="54"/>
    <cellStyle name="常规 2" xfId="55"/>
    <cellStyle name="常规 3" xfId="56"/>
    <cellStyle name="常规 5" xfId="57"/>
  </cellStyles>
  <tableStyles count="0" defaultTableStyle="TableStyleMedium2"/>
  <colors>
    <mruColors>
      <color rgb="00DBDBDB"/>
      <color rgb="002F75B5"/>
      <color rgb="00C00000"/>
      <color rgb="00F8CBAD"/>
      <color rgb="00C6E0B4"/>
      <color rgb="00FFFFFF"/>
      <color rgb="00FF0000"/>
      <color rgb="00FFFF00"/>
      <color rgb="00000000"/>
      <color rgb="00B4C6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88"/>
  <sheetViews>
    <sheetView tabSelected="1" workbookViewId="0">
      <pane ySplit="2" topLeftCell="A9" activePane="bottomLeft" state="frozen"/>
      <selection/>
      <selection pane="bottomLeft" activeCell="F30" sqref="F30"/>
    </sheetView>
  </sheetViews>
  <sheetFormatPr defaultColWidth="9" defaultRowHeight="14.25"/>
  <cols>
    <col min="1" max="1" width="9" customWidth="1"/>
    <col min="2" max="2" width="36.25" style="1" customWidth="1"/>
    <col min="3" max="3" width="9.875" style="1" customWidth="1"/>
    <col min="4" max="4" width="15.25" style="1" customWidth="1"/>
    <col min="5" max="7" width="14.125" style="2" customWidth="1"/>
    <col min="8" max="8" width="17.375" style="2" customWidth="1"/>
    <col min="9" max="9" width="53.2583333333333" style="3" customWidth="1"/>
  </cols>
  <sheetData>
    <row r="1" ht="29.25" spans="1:9">
      <c r="A1" s="4"/>
      <c r="B1" s="5" t="s">
        <v>0</v>
      </c>
      <c r="C1" s="5"/>
      <c r="D1" s="5"/>
      <c r="E1" s="5"/>
      <c r="F1" s="5"/>
      <c r="G1" s="5"/>
      <c r="H1" s="5"/>
      <c r="I1" s="5"/>
    </row>
    <row r="2" ht="18" spans="1:9">
      <c r="A2" s="6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9" t="s">
        <v>6</v>
      </c>
      <c r="G2" s="9" t="s">
        <v>7</v>
      </c>
      <c r="H2" s="10" t="s">
        <v>8</v>
      </c>
      <c r="I2" s="54" t="s">
        <v>9</v>
      </c>
    </row>
    <row r="3" ht="29" customHeight="1" spans="1:9">
      <c r="A3" s="11" t="s">
        <v>10</v>
      </c>
      <c r="B3" s="12" t="s">
        <v>11</v>
      </c>
      <c r="C3" s="13">
        <v>1</v>
      </c>
      <c r="D3" s="14">
        <v>45980</v>
      </c>
      <c r="E3" s="14">
        <f>D3+C3-1</f>
        <v>45980</v>
      </c>
      <c r="F3" s="15">
        <v>45980</v>
      </c>
      <c r="G3" s="15">
        <v>45980</v>
      </c>
      <c r="H3" s="16" t="s">
        <v>12</v>
      </c>
      <c r="I3" s="52" t="s">
        <v>13</v>
      </c>
    </row>
    <row r="4" ht="21" customHeight="1" spans="1:9">
      <c r="A4" s="17"/>
      <c r="B4" s="18" t="s">
        <v>14</v>
      </c>
      <c r="C4" s="19">
        <v>1</v>
      </c>
      <c r="D4" s="20">
        <f>E3+1</f>
        <v>45981</v>
      </c>
      <c r="E4" s="20">
        <f>D4+C4-1</f>
        <v>45981</v>
      </c>
      <c r="F4" s="21">
        <v>45981</v>
      </c>
      <c r="G4" s="21">
        <v>45981</v>
      </c>
      <c r="H4" s="22" t="s">
        <v>12</v>
      </c>
      <c r="I4" s="52"/>
    </row>
    <row r="5" ht="16.5" spans="1:9">
      <c r="A5" s="17"/>
      <c r="B5" s="23" t="s">
        <v>15</v>
      </c>
      <c r="C5" s="24">
        <v>10</v>
      </c>
      <c r="D5" s="25">
        <f>E4+1</f>
        <v>45982</v>
      </c>
      <c r="E5" s="25">
        <f>D5+C5</f>
        <v>45992</v>
      </c>
      <c r="F5" s="25">
        <v>45982</v>
      </c>
      <c r="G5" s="25">
        <v>45996</v>
      </c>
      <c r="H5" s="26" t="s">
        <v>16</v>
      </c>
      <c r="I5" s="55" t="s">
        <v>17</v>
      </c>
    </row>
    <row r="6" ht="16.5" spans="1:9">
      <c r="A6" s="17"/>
      <c r="B6" s="23" t="s">
        <v>18</v>
      </c>
      <c r="C6" s="24">
        <v>28</v>
      </c>
      <c r="D6" s="25">
        <f>D5+8</f>
        <v>45990</v>
      </c>
      <c r="E6" s="25">
        <f>D6+C6</f>
        <v>46018</v>
      </c>
      <c r="F6" s="25">
        <v>45990</v>
      </c>
      <c r="G6" s="25">
        <v>46018</v>
      </c>
      <c r="H6" s="27" t="s">
        <v>19</v>
      </c>
      <c r="I6" s="55" t="s">
        <v>20</v>
      </c>
    </row>
    <row r="7" ht="16.5" spans="1:9">
      <c r="A7" s="17"/>
      <c r="B7" s="23" t="s">
        <v>21</v>
      </c>
      <c r="C7" s="24">
        <v>28</v>
      </c>
      <c r="D7" s="25">
        <f>E5</f>
        <v>45992</v>
      </c>
      <c r="E7" s="25">
        <f>D7+C7</f>
        <v>46020</v>
      </c>
      <c r="F7" s="25">
        <v>45997</v>
      </c>
      <c r="G7" s="25">
        <v>46022</v>
      </c>
      <c r="H7" s="26" t="s">
        <v>22</v>
      </c>
      <c r="I7" s="55"/>
    </row>
    <row r="8" ht="16.5" spans="1:9">
      <c r="A8" s="17"/>
      <c r="B8" s="28" t="s">
        <v>23</v>
      </c>
      <c r="C8" s="29">
        <v>1</v>
      </c>
      <c r="D8" s="14">
        <f>E7+1</f>
        <v>46021</v>
      </c>
      <c r="E8" s="14">
        <f>D8+C8-1</f>
        <v>46021</v>
      </c>
      <c r="F8" s="14">
        <v>46023</v>
      </c>
      <c r="G8" s="14">
        <v>46027</v>
      </c>
      <c r="H8" s="30" t="s">
        <v>22</v>
      </c>
      <c r="I8" s="55" t="s">
        <v>24</v>
      </c>
    </row>
    <row r="9" ht="16.5" spans="1:9">
      <c r="A9" s="17"/>
      <c r="B9" s="31" t="s">
        <v>25</v>
      </c>
      <c r="C9" s="32">
        <v>16</v>
      </c>
      <c r="D9" s="33">
        <f>E8+1</f>
        <v>46022</v>
      </c>
      <c r="E9" s="33">
        <f>D9+C9+5</f>
        <v>46043</v>
      </c>
      <c r="F9" s="33">
        <v>46028</v>
      </c>
      <c r="G9" s="33"/>
      <c r="H9" s="27" t="s">
        <v>26</v>
      </c>
      <c r="I9" s="56" t="s">
        <v>27</v>
      </c>
    </row>
    <row r="10" ht="16.5" spans="1:9">
      <c r="A10" s="17"/>
      <c r="B10" s="31" t="s">
        <v>28</v>
      </c>
      <c r="C10" s="32">
        <v>2</v>
      </c>
      <c r="D10" s="33">
        <f>E7+1</f>
        <v>46021</v>
      </c>
      <c r="E10" s="33">
        <f>D10+C10+2</f>
        <v>46025</v>
      </c>
      <c r="F10" s="33">
        <v>46027</v>
      </c>
      <c r="G10" s="33">
        <v>46031</v>
      </c>
      <c r="H10" s="27" t="s">
        <v>29</v>
      </c>
      <c r="I10" s="56"/>
    </row>
    <row r="11" ht="16.5" spans="1:9">
      <c r="A11" s="17"/>
      <c r="B11" s="23" t="s">
        <v>30</v>
      </c>
      <c r="C11" s="32">
        <v>15</v>
      </c>
      <c r="D11" s="25">
        <f>E3+1</f>
        <v>45981</v>
      </c>
      <c r="E11" s="33">
        <f>D11+C11</f>
        <v>45996</v>
      </c>
      <c r="F11" s="33">
        <v>45981</v>
      </c>
      <c r="G11" s="33">
        <v>45996</v>
      </c>
      <c r="H11" s="27" t="s">
        <v>31</v>
      </c>
      <c r="I11" s="57"/>
    </row>
    <row r="12" ht="16.5" spans="1:9">
      <c r="A12" s="17"/>
      <c r="B12" s="23" t="s">
        <v>32</v>
      </c>
      <c r="C12" s="32">
        <v>3</v>
      </c>
      <c r="D12" s="25">
        <f>E6-5</f>
        <v>46013</v>
      </c>
      <c r="E12" s="33">
        <f t="shared" ref="E11:E16" si="0">D12+C12</f>
        <v>46016</v>
      </c>
      <c r="F12" s="33">
        <v>46013</v>
      </c>
      <c r="G12" s="33">
        <v>46016</v>
      </c>
      <c r="H12" s="27" t="s">
        <v>33</v>
      </c>
      <c r="I12" s="55" t="s">
        <v>34</v>
      </c>
    </row>
    <row r="13" ht="16.5" spans="1:9">
      <c r="A13" s="17"/>
      <c r="B13" s="23" t="s">
        <v>35</v>
      </c>
      <c r="C13" s="32">
        <v>3</v>
      </c>
      <c r="D13" s="25">
        <f t="shared" ref="D13:D16" si="1">E12</f>
        <v>46016</v>
      </c>
      <c r="E13" s="33">
        <f t="shared" si="0"/>
        <v>46019</v>
      </c>
      <c r="F13" s="33">
        <v>46017</v>
      </c>
      <c r="G13" s="33">
        <v>46026</v>
      </c>
      <c r="H13" s="27" t="s">
        <v>33</v>
      </c>
      <c r="I13" s="57" t="s">
        <v>36</v>
      </c>
    </row>
    <row r="14" ht="16.5" spans="1:9">
      <c r="A14" s="17"/>
      <c r="B14" s="23" t="s">
        <v>37</v>
      </c>
      <c r="C14" s="24">
        <v>5</v>
      </c>
      <c r="D14" s="34">
        <f>E6+1</f>
        <v>46019</v>
      </c>
      <c r="E14" s="34">
        <f t="shared" si="0"/>
        <v>46024</v>
      </c>
      <c r="F14" s="34" t="s">
        <v>38</v>
      </c>
      <c r="G14" s="34" t="s">
        <v>38</v>
      </c>
      <c r="H14" s="35" t="s">
        <v>33</v>
      </c>
      <c r="I14" s="57" t="s">
        <v>39</v>
      </c>
    </row>
    <row r="15" ht="16.5" spans="1:9">
      <c r="A15" s="36"/>
      <c r="B15" s="23" t="s">
        <v>40</v>
      </c>
      <c r="C15" s="32">
        <v>10</v>
      </c>
      <c r="D15" s="25">
        <f t="shared" si="1"/>
        <v>46024</v>
      </c>
      <c r="E15" s="33">
        <f t="shared" si="0"/>
        <v>46034</v>
      </c>
      <c r="F15" s="33" t="s">
        <v>38</v>
      </c>
      <c r="G15" s="33" t="s">
        <v>38</v>
      </c>
      <c r="H15" s="27" t="s">
        <v>41</v>
      </c>
      <c r="I15" s="57"/>
    </row>
    <row r="16" ht="16.5" spans="1:9">
      <c r="A16" s="37" t="s">
        <v>42</v>
      </c>
      <c r="B16" s="28" t="s">
        <v>43</v>
      </c>
      <c r="C16" s="29">
        <v>1</v>
      </c>
      <c r="D16" s="14">
        <f>E13+2</f>
        <v>46021</v>
      </c>
      <c r="E16" s="14">
        <f>D16+C16-1</f>
        <v>46021</v>
      </c>
      <c r="F16" s="14">
        <v>46027</v>
      </c>
      <c r="G16" s="14">
        <v>46027</v>
      </c>
      <c r="H16" s="30" t="s">
        <v>33</v>
      </c>
      <c r="I16" s="58" t="s">
        <v>44</v>
      </c>
    </row>
    <row r="17" ht="16.5" spans="1:9">
      <c r="A17" s="38"/>
      <c r="B17" s="23" t="s">
        <v>45</v>
      </c>
      <c r="C17" s="32">
        <v>30</v>
      </c>
      <c r="D17" s="33">
        <f>D16+1</f>
        <v>46022</v>
      </c>
      <c r="E17" s="33">
        <f>D17+C17+2</f>
        <v>46054</v>
      </c>
      <c r="F17" s="33">
        <v>46022</v>
      </c>
      <c r="G17" s="33">
        <v>46022</v>
      </c>
      <c r="H17" s="27" t="s">
        <v>46</v>
      </c>
      <c r="I17" s="56" t="s">
        <v>47</v>
      </c>
    </row>
    <row r="18" ht="16.5" spans="1:9">
      <c r="A18" s="38"/>
      <c r="B18" s="23" t="s">
        <v>48</v>
      </c>
      <c r="C18" s="24">
        <v>7</v>
      </c>
      <c r="D18" s="25">
        <f>D16+10</f>
        <v>46031</v>
      </c>
      <c r="E18" s="25">
        <f t="shared" ref="E16:E19" si="2">D18+C18</f>
        <v>46038</v>
      </c>
      <c r="F18" s="25">
        <v>46031</v>
      </c>
      <c r="G18" s="25">
        <v>46031</v>
      </c>
      <c r="H18" s="27" t="s">
        <v>33</v>
      </c>
      <c r="I18" s="57"/>
    </row>
    <row r="19" ht="16.5" spans="1:9">
      <c r="A19" s="38"/>
      <c r="B19" s="23" t="s">
        <v>49</v>
      </c>
      <c r="C19" s="24">
        <v>7</v>
      </c>
      <c r="D19" s="25">
        <f>D16+10</f>
        <v>46031</v>
      </c>
      <c r="E19" s="25">
        <f t="shared" si="2"/>
        <v>46038</v>
      </c>
      <c r="F19" s="25">
        <v>46031</v>
      </c>
      <c r="G19" s="25">
        <v>46031</v>
      </c>
      <c r="H19" s="27" t="s">
        <v>33</v>
      </c>
      <c r="I19" s="56"/>
    </row>
    <row r="20" ht="16.5" spans="1:9">
      <c r="A20" s="38"/>
      <c r="B20" s="23" t="s">
        <v>50</v>
      </c>
      <c r="C20" s="32">
        <v>28</v>
      </c>
      <c r="D20" s="39">
        <f>E16+1</f>
        <v>46022</v>
      </c>
      <c r="E20" s="40">
        <f>E16+C20+2</f>
        <v>46051</v>
      </c>
      <c r="F20" s="40">
        <v>46027</v>
      </c>
      <c r="G20" s="40">
        <v>46055</v>
      </c>
      <c r="H20" s="27" t="s">
        <v>33</v>
      </c>
      <c r="I20" s="59"/>
    </row>
    <row r="21" ht="16.5" spans="1:9">
      <c r="A21" s="38"/>
      <c r="B21" s="23" t="s">
        <v>51</v>
      </c>
      <c r="C21" s="32">
        <v>3</v>
      </c>
      <c r="D21" s="39">
        <f>D16+4</f>
        <v>46025</v>
      </c>
      <c r="E21" s="40">
        <f>D21+C21</f>
        <v>46028</v>
      </c>
      <c r="F21" s="40">
        <v>46034</v>
      </c>
      <c r="G21" s="40">
        <v>46036</v>
      </c>
      <c r="H21" s="27" t="s">
        <v>33</v>
      </c>
      <c r="I21" s="59"/>
    </row>
    <row r="22" ht="20" customHeight="1" spans="1:9">
      <c r="A22" s="38"/>
      <c r="B22" s="23" t="s">
        <v>52</v>
      </c>
      <c r="C22" s="32">
        <v>32</v>
      </c>
      <c r="D22" s="40">
        <f>D20</f>
        <v>46022</v>
      </c>
      <c r="E22" s="40">
        <f>D22+C22-1</f>
        <v>46053</v>
      </c>
      <c r="F22" s="40">
        <v>46022</v>
      </c>
      <c r="G22" s="40">
        <v>46053</v>
      </c>
      <c r="H22" s="27" t="s">
        <v>53</v>
      </c>
      <c r="I22" s="56" t="s">
        <v>54</v>
      </c>
    </row>
    <row r="23" ht="16.5" spans="1:9">
      <c r="A23" s="38"/>
      <c r="B23" s="23" t="s">
        <v>55</v>
      </c>
      <c r="C23" s="32">
        <v>3</v>
      </c>
      <c r="D23" s="40">
        <f>E20+2</f>
        <v>46053</v>
      </c>
      <c r="E23" s="40">
        <f>D23+C23</f>
        <v>46056</v>
      </c>
      <c r="F23" s="40">
        <v>46053</v>
      </c>
      <c r="G23" s="40">
        <v>46056</v>
      </c>
      <c r="H23" s="27" t="s">
        <v>33</v>
      </c>
      <c r="I23" s="59"/>
    </row>
    <row r="24" ht="16.5" spans="1:9">
      <c r="A24" s="38"/>
      <c r="B24" s="23" t="s">
        <v>56</v>
      </c>
      <c r="C24" s="32">
        <v>2</v>
      </c>
      <c r="D24" s="40">
        <f>E9+2</f>
        <v>46045</v>
      </c>
      <c r="E24" s="40">
        <f>D24+C24</f>
        <v>46047</v>
      </c>
      <c r="F24" s="41">
        <v>46045</v>
      </c>
      <c r="G24" s="41">
        <v>46047</v>
      </c>
      <c r="H24" s="42" t="s">
        <v>57</v>
      </c>
      <c r="I24" s="59"/>
    </row>
    <row r="25" ht="16.5" spans="1:9">
      <c r="A25" s="38"/>
      <c r="B25" s="28" t="s">
        <v>58</v>
      </c>
      <c r="C25" s="29">
        <v>1</v>
      </c>
      <c r="D25" s="14">
        <f>E17+1</f>
        <v>46055</v>
      </c>
      <c r="E25" s="14">
        <f>D25</f>
        <v>46055</v>
      </c>
      <c r="F25" s="15">
        <v>46055</v>
      </c>
      <c r="G25" s="15">
        <v>46057</v>
      </c>
      <c r="H25" s="43" t="s">
        <v>12</v>
      </c>
      <c r="I25" s="60" t="s">
        <v>59</v>
      </c>
    </row>
    <row r="26" ht="16.5" spans="1:9">
      <c r="A26" s="38"/>
      <c r="B26" s="23" t="s">
        <v>60</v>
      </c>
      <c r="C26" s="32">
        <v>10</v>
      </c>
      <c r="D26" s="33">
        <f>E25+1</f>
        <v>46056</v>
      </c>
      <c r="E26" s="33">
        <f>D26+C26+15</f>
        <v>46081</v>
      </c>
      <c r="F26" s="44">
        <v>46056</v>
      </c>
      <c r="G26" s="44">
        <v>46081</v>
      </c>
      <c r="H26" s="42" t="s">
        <v>61</v>
      </c>
      <c r="I26" s="61" t="s">
        <v>62</v>
      </c>
    </row>
    <row r="27" ht="16.5" spans="1:9">
      <c r="A27" s="38"/>
      <c r="B27" s="45" t="s">
        <v>63</v>
      </c>
      <c r="C27" s="32">
        <v>3</v>
      </c>
      <c r="D27" s="33">
        <f>E25+1</f>
        <v>46056</v>
      </c>
      <c r="E27" s="33">
        <f>D27+C27</f>
        <v>46059</v>
      </c>
      <c r="F27" s="33">
        <v>46056</v>
      </c>
      <c r="G27" s="33">
        <v>46059</v>
      </c>
      <c r="H27" s="27" t="s">
        <v>64</v>
      </c>
      <c r="I27" s="62"/>
    </row>
    <row r="28" ht="16.5" spans="1:9">
      <c r="A28" s="38"/>
      <c r="B28" s="23" t="s">
        <v>65</v>
      </c>
      <c r="C28" s="24">
        <v>7</v>
      </c>
      <c r="D28" s="25">
        <f>E25+2</f>
        <v>46057</v>
      </c>
      <c r="E28" s="25">
        <f>D28+C28+15</f>
        <v>46079</v>
      </c>
      <c r="F28" s="25">
        <v>46057</v>
      </c>
      <c r="G28" s="25">
        <v>46079</v>
      </c>
      <c r="H28" s="26" t="s">
        <v>33</v>
      </c>
      <c r="I28" s="61" t="s">
        <v>62</v>
      </c>
    </row>
    <row r="29" ht="16.5" spans="1:9">
      <c r="A29" s="38"/>
      <c r="B29" s="23" t="s">
        <v>66</v>
      </c>
      <c r="C29" s="32">
        <v>25</v>
      </c>
      <c r="D29" s="33">
        <f>E25+1</f>
        <v>46056</v>
      </c>
      <c r="E29" s="33">
        <f>D29+C29+10</f>
        <v>46091</v>
      </c>
      <c r="F29" s="33">
        <v>46056</v>
      </c>
      <c r="G29" s="33"/>
      <c r="H29" s="27" t="s">
        <v>67</v>
      </c>
      <c r="I29" s="61" t="s">
        <v>62</v>
      </c>
    </row>
    <row r="30" ht="16.5" spans="1:9">
      <c r="A30" s="38"/>
      <c r="B30" s="23" t="s">
        <v>68</v>
      </c>
      <c r="C30" s="32">
        <v>25</v>
      </c>
      <c r="D30" s="33">
        <f>E25+1</f>
        <v>46056</v>
      </c>
      <c r="E30" s="33">
        <f>D30+C30+10</f>
        <v>46091</v>
      </c>
      <c r="F30" s="33"/>
      <c r="G30" s="33"/>
      <c r="H30" s="27" t="s">
        <v>69</v>
      </c>
      <c r="I30" s="61" t="s">
        <v>62</v>
      </c>
    </row>
    <row r="31" ht="16.5" spans="1:9">
      <c r="A31" s="38"/>
      <c r="B31" s="23" t="s">
        <v>70</v>
      </c>
      <c r="C31" s="32">
        <v>5</v>
      </c>
      <c r="D31" s="25">
        <f>E30-5</f>
        <v>46086</v>
      </c>
      <c r="E31" s="25">
        <f t="shared" ref="E31:E37" si="3">D31+C31</f>
        <v>46091</v>
      </c>
      <c r="F31" s="25"/>
      <c r="G31" s="25"/>
      <c r="H31" s="27" t="s">
        <v>71</v>
      </c>
      <c r="I31" s="59"/>
    </row>
    <row r="32" ht="16.5" spans="1:9">
      <c r="A32" s="38"/>
      <c r="B32" s="23" t="s">
        <v>72</v>
      </c>
      <c r="C32" s="32">
        <v>1</v>
      </c>
      <c r="D32" s="25">
        <f t="shared" ref="D32:D35" si="4">E31</f>
        <v>46091</v>
      </c>
      <c r="E32" s="25">
        <f>D32+C32-1</f>
        <v>46091</v>
      </c>
      <c r="F32" s="25"/>
      <c r="G32" s="25"/>
      <c r="H32" s="27" t="s">
        <v>22</v>
      </c>
      <c r="I32" s="63"/>
    </row>
    <row r="33" ht="16.5" spans="1:9">
      <c r="A33" s="37" t="s">
        <v>73</v>
      </c>
      <c r="B33" s="23" t="s">
        <v>74</v>
      </c>
      <c r="C33" s="32">
        <v>18</v>
      </c>
      <c r="D33" s="25">
        <f t="shared" si="4"/>
        <v>46091</v>
      </c>
      <c r="E33" s="25">
        <f>D33+C33</f>
        <v>46109</v>
      </c>
      <c r="F33" s="25"/>
      <c r="G33" s="25"/>
      <c r="H33" s="27" t="s">
        <v>75</v>
      </c>
      <c r="I33" s="64"/>
    </row>
    <row r="34" ht="16.5" spans="1:9">
      <c r="A34" s="38"/>
      <c r="B34" s="23" t="s">
        <v>76</v>
      </c>
      <c r="C34" s="32">
        <v>2</v>
      </c>
      <c r="D34" s="25">
        <f>E33+1</f>
        <v>46110</v>
      </c>
      <c r="E34" s="25">
        <f t="shared" si="3"/>
        <v>46112</v>
      </c>
      <c r="F34" s="25"/>
      <c r="G34" s="25"/>
      <c r="H34" s="26" t="s">
        <v>77</v>
      </c>
      <c r="I34" s="63"/>
    </row>
    <row r="35" ht="16.5" spans="1:9">
      <c r="A35" s="38"/>
      <c r="B35" s="23" t="s">
        <v>78</v>
      </c>
      <c r="C35" s="32">
        <v>5</v>
      </c>
      <c r="D35" s="33">
        <f t="shared" si="4"/>
        <v>46112</v>
      </c>
      <c r="E35" s="33">
        <f t="shared" si="3"/>
        <v>46117</v>
      </c>
      <c r="F35" s="33"/>
      <c r="G35" s="33"/>
      <c r="H35" s="27" t="s">
        <v>29</v>
      </c>
      <c r="I35" s="63"/>
    </row>
    <row r="36" ht="18" customHeight="1" spans="1:9">
      <c r="A36" s="38"/>
      <c r="B36" s="23" t="s">
        <v>79</v>
      </c>
      <c r="C36" s="32">
        <v>3</v>
      </c>
      <c r="D36" s="33">
        <f>E35+1</f>
        <v>46118</v>
      </c>
      <c r="E36" s="33">
        <f t="shared" si="3"/>
        <v>46121</v>
      </c>
      <c r="F36" s="33"/>
      <c r="G36" s="33"/>
      <c r="H36" s="27" t="s">
        <v>80</v>
      </c>
      <c r="I36" s="63"/>
    </row>
    <row r="37" ht="16.5" spans="1:9">
      <c r="A37" s="38"/>
      <c r="B37" s="23" t="s">
        <v>81</v>
      </c>
      <c r="C37" s="32">
        <v>3</v>
      </c>
      <c r="D37" s="33">
        <f>E36+1</f>
        <v>46122</v>
      </c>
      <c r="E37" s="33">
        <f t="shared" si="3"/>
        <v>46125</v>
      </c>
      <c r="F37" s="33"/>
      <c r="G37" s="33"/>
      <c r="H37" s="27" t="s">
        <v>82</v>
      </c>
      <c r="I37" s="65"/>
    </row>
    <row r="38" ht="16.5" spans="1:9">
      <c r="A38" s="38"/>
      <c r="B38" s="23" t="s">
        <v>83</v>
      </c>
      <c r="C38" s="24">
        <v>25</v>
      </c>
      <c r="D38" s="25">
        <f>E28+1</f>
        <v>46080</v>
      </c>
      <c r="E38" s="25">
        <f>D38+C38+15</f>
        <v>46120</v>
      </c>
      <c r="F38" s="25"/>
      <c r="G38" s="25"/>
      <c r="H38" s="27" t="s">
        <v>46</v>
      </c>
      <c r="I38" s="66" t="s">
        <v>84</v>
      </c>
    </row>
    <row r="39" ht="16.5" spans="1:9">
      <c r="A39" s="38"/>
      <c r="B39" s="23" t="s">
        <v>85</v>
      </c>
      <c r="C39" s="24">
        <v>1</v>
      </c>
      <c r="D39" s="25">
        <f>E38-3</f>
        <v>46117</v>
      </c>
      <c r="E39" s="25">
        <f>D39+C39</f>
        <v>46118</v>
      </c>
      <c r="F39" s="25"/>
      <c r="G39" s="25"/>
      <c r="H39" s="27" t="s">
        <v>86</v>
      </c>
      <c r="I39" s="63"/>
    </row>
    <row r="40" ht="16.5" spans="1:9">
      <c r="A40" s="38"/>
      <c r="B40" s="23" t="s">
        <v>87</v>
      </c>
      <c r="C40" s="24">
        <v>1</v>
      </c>
      <c r="D40" s="25">
        <f>E38-3</f>
        <v>46117</v>
      </c>
      <c r="E40" s="25">
        <f>D40+C40</f>
        <v>46118</v>
      </c>
      <c r="F40" s="25"/>
      <c r="G40" s="25"/>
      <c r="H40" s="26" t="s">
        <v>86</v>
      </c>
      <c r="I40" s="63"/>
    </row>
    <row r="41" ht="16.5" spans="1:9">
      <c r="A41" s="38"/>
      <c r="B41" s="28" t="s">
        <v>88</v>
      </c>
      <c r="C41" s="29">
        <v>3</v>
      </c>
      <c r="D41" s="14">
        <f>E37+1</f>
        <v>46126</v>
      </c>
      <c r="E41" s="14">
        <f>D41+C41</f>
        <v>46129</v>
      </c>
      <c r="F41" s="14"/>
      <c r="G41" s="14"/>
      <c r="H41" s="30" t="s">
        <v>12</v>
      </c>
      <c r="I41" s="55"/>
    </row>
    <row r="42" ht="16.5" spans="1:9">
      <c r="A42" s="38"/>
      <c r="B42" s="45" t="s">
        <v>89</v>
      </c>
      <c r="C42" s="46">
        <v>15</v>
      </c>
      <c r="D42" s="25">
        <f>E41+1</f>
        <v>46130</v>
      </c>
      <c r="E42" s="25">
        <f>D42+C42+3</f>
        <v>46148</v>
      </c>
      <c r="F42" s="25"/>
      <c r="G42" s="25"/>
      <c r="H42" s="26" t="s">
        <v>64</v>
      </c>
      <c r="I42" s="57" t="s">
        <v>90</v>
      </c>
    </row>
    <row r="43" ht="16.5" spans="1:9">
      <c r="A43" s="38"/>
      <c r="B43" s="45" t="s">
        <v>91</v>
      </c>
      <c r="C43" s="46">
        <v>15</v>
      </c>
      <c r="D43" s="25">
        <f>E41+1</f>
        <v>46130</v>
      </c>
      <c r="E43" s="25">
        <f>D43+C43+3</f>
        <v>46148</v>
      </c>
      <c r="F43" s="25"/>
      <c r="G43" s="25"/>
      <c r="H43" s="26" t="s">
        <v>64</v>
      </c>
      <c r="I43" s="57" t="s">
        <v>90</v>
      </c>
    </row>
    <row r="44" ht="16.5" spans="1:9">
      <c r="A44" s="38"/>
      <c r="B44" s="45" t="s">
        <v>92</v>
      </c>
      <c r="C44" s="46">
        <v>15</v>
      </c>
      <c r="D44" s="25">
        <f>D42</f>
        <v>46130</v>
      </c>
      <c r="E44" s="25">
        <f>D44+C5+3</f>
        <v>46143</v>
      </c>
      <c r="F44" s="25"/>
      <c r="G44" s="25"/>
      <c r="H44" s="26" t="s">
        <v>93</v>
      </c>
      <c r="I44" s="57" t="s">
        <v>90</v>
      </c>
    </row>
    <row r="45" ht="16.5" spans="1:9">
      <c r="A45" s="38"/>
      <c r="B45" s="45" t="s">
        <v>60</v>
      </c>
      <c r="C45" s="46">
        <v>15</v>
      </c>
      <c r="D45" s="25">
        <f>E41+1</f>
        <v>46130</v>
      </c>
      <c r="E45" s="25">
        <f>D45+C45</f>
        <v>46145</v>
      </c>
      <c r="F45" s="25"/>
      <c r="G45" s="25"/>
      <c r="H45" s="26" t="s">
        <v>41</v>
      </c>
      <c r="I45" s="58"/>
    </row>
    <row r="46" ht="16.5" spans="1:9">
      <c r="A46" s="38"/>
      <c r="B46" s="45" t="s">
        <v>94</v>
      </c>
      <c r="C46" s="46">
        <v>15</v>
      </c>
      <c r="D46" s="25">
        <f>E41+1</f>
        <v>46130</v>
      </c>
      <c r="E46" s="25">
        <f>D46+C46</f>
        <v>46145</v>
      </c>
      <c r="F46" s="25"/>
      <c r="G46" s="25"/>
      <c r="H46" s="26" t="s">
        <v>95</v>
      </c>
      <c r="I46" s="58"/>
    </row>
    <row r="47" ht="16.5" spans="1:9">
      <c r="A47" s="38"/>
      <c r="B47" s="23" t="s">
        <v>96</v>
      </c>
      <c r="C47" s="24">
        <v>1</v>
      </c>
      <c r="D47" s="25">
        <f>E42+1</f>
        <v>46149</v>
      </c>
      <c r="E47" s="25">
        <f>D47</f>
        <v>46149</v>
      </c>
      <c r="F47" s="25"/>
      <c r="G47" s="25"/>
      <c r="H47" s="26" t="s">
        <v>12</v>
      </c>
      <c r="I47" s="55"/>
    </row>
    <row r="48" ht="16.5" spans="1:9">
      <c r="A48" s="37" t="s">
        <v>97</v>
      </c>
      <c r="B48" s="23" t="s">
        <v>98</v>
      </c>
      <c r="C48" s="24">
        <v>18</v>
      </c>
      <c r="D48" s="25">
        <f>E41+10</f>
        <v>46139</v>
      </c>
      <c r="E48" s="25">
        <f>D48+C48+5</f>
        <v>46162</v>
      </c>
      <c r="F48" s="25"/>
      <c r="G48" s="25"/>
      <c r="H48" s="27" t="s">
        <v>22</v>
      </c>
      <c r="I48" s="67"/>
    </row>
    <row r="49" ht="16.5" spans="1:9">
      <c r="A49" s="38"/>
      <c r="B49" s="23" t="s">
        <v>99</v>
      </c>
      <c r="C49" s="24">
        <v>3</v>
      </c>
      <c r="D49" s="25">
        <f>E48+1</f>
        <v>46163</v>
      </c>
      <c r="E49" s="25">
        <f>D49+C49</f>
        <v>46166</v>
      </c>
      <c r="F49" s="25"/>
      <c r="G49" s="25"/>
      <c r="H49" s="27" t="s">
        <v>22</v>
      </c>
      <c r="I49" s="67"/>
    </row>
    <row r="50" ht="16.5" spans="1:9">
      <c r="A50" s="38"/>
      <c r="B50" s="23" t="s">
        <v>100</v>
      </c>
      <c r="C50" s="24">
        <v>25</v>
      </c>
      <c r="D50" s="25">
        <f>E46-3</f>
        <v>46142</v>
      </c>
      <c r="E50" s="25">
        <f>D50+C50+3</f>
        <v>46170</v>
      </c>
      <c r="F50" s="25"/>
      <c r="G50" s="25"/>
      <c r="H50" s="26" t="s">
        <v>46</v>
      </c>
      <c r="I50" s="67"/>
    </row>
    <row r="51" ht="16.5" spans="1:9">
      <c r="A51" s="38"/>
      <c r="B51" s="23" t="s">
        <v>85</v>
      </c>
      <c r="C51" s="24">
        <v>1</v>
      </c>
      <c r="D51" s="25">
        <f>E48-2</f>
        <v>46160</v>
      </c>
      <c r="E51" s="25">
        <f t="shared" ref="E51:E59" si="5">D51+C51</f>
        <v>46161</v>
      </c>
      <c r="F51" s="25"/>
      <c r="G51" s="25"/>
      <c r="H51" s="26" t="s">
        <v>86</v>
      </c>
      <c r="I51" s="68"/>
    </row>
    <row r="52" ht="16.5" spans="1:9">
      <c r="A52" s="38"/>
      <c r="B52" s="23" t="s">
        <v>101</v>
      </c>
      <c r="C52" s="24">
        <v>1</v>
      </c>
      <c r="D52" s="25">
        <f>E51</f>
        <v>46161</v>
      </c>
      <c r="E52" s="25">
        <f t="shared" si="5"/>
        <v>46162</v>
      </c>
      <c r="F52" s="25"/>
      <c r="G52" s="25"/>
      <c r="H52" s="26" t="s">
        <v>86</v>
      </c>
      <c r="I52" s="68"/>
    </row>
    <row r="53" ht="16.5" spans="1:9">
      <c r="A53" s="38"/>
      <c r="B53" s="28" t="s">
        <v>102</v>
      </c>
      <c r="C53" s="29">
        <v>3</v>
      </c>
      <c r="D53" s="14">
        <f>E50+1</f>
        <v>46171</v>
      </c>
      <c r="E53" s="14">
        <f t="shared" si="5"/>
        <v>46174</v>
      </c>
      <c r="F53" s="14"/>
      <c r="G53" s="14"/>
      <c r="H53" s="30" t="s">
        <v>12</v>
      </c>
      <c r="I53" s="57"/>
    </row>
    <row r="54" ht="16.5" spans="1:9">
      <c r="A54" s="38"/>
      <c r="B54" s="45" t="s">
        <v>103</v>
      </c>
      <c r="C54" s="32">
        <v>15</v>
      </c>
      <c r="D54" s="33">
        <f>E53+1</f>
        <v>46175</v>
      </c>
      <c r="E54" s="47">
        <f t="shared" si="5"/>
        <v>46190</v>
      </c>
      <c r="F54" s="47"/>
      <c r="G54" s="47"/>
      <c r="H54" s="27" t="s">
        <v>64</v>
      </c>
      <c r="I54" s="69"/>
    </row>
    <row r="55" ht="16.5" spans="1:9">
      <c r="A55" s="38"/>
      <c r="B55" s="45" t="s">
        <v>104</v>
      </c>
      <c r="C55" s="48">
        <v>15</v>
      </c>
      <c r="D55" s="25">
        <f>D54</f>
        <v>46175</v>
      </c>
      <c r="E55" s="47">
        <f t="shared" si="5"/>
        <v>46190</v>
      </c>
      <c r="F55" s="47"/>
      <c r="G55" s="47"/>
      <c r="H55" s="26" t="s">
        <v>93</v>
      </c>
      <c r="I55" s="55"/>
    </row>
    <row r="56" ht="16.5" spans="1:9">
      <c r="A56" s="38"/>
      <c r="B56" s="45" t="s">
        <v>60</v>
      </c>
      <c r="C56" s="48">
        <v>10</v>
      </c>
      <c r="D56" s="25">
        <f>E53</f>
        <v>46174</v>
      </c>
      <c r="E56" s="25">
        <f t="shared" si="5"/>
        <v>46184</v>
      </c>
      <c r="F56" s="25"/>
      <c r="G56" s="25"/>
      <c r="H56" s="26" t="s">
        <v>41</v>
      </c>
      <c r="I56" s="55"/>
    </row>
    <row r="57" ht="16.5" spans="1:9">
      <c r="A57" s="38"/>
      <c r="B57" s="45" t="s">
        <v>105</v>
      </c>
      <c r="C57" s="48">
        <v>7</v>
      </c>
      <c r="D57" s="25">
        <f>E53</f>
        <v>46174</v>
      </c>
      <c r="E57" s="25">
        <f t="shared" si="5"/>
        <v>46181</v>
      </c>
      <c r="F57" s="25"/>
      <c r="G57" s="25"/>
      <c r="H57" s="26" t="s">
        <v>95</v>
      </c>
      <c r="I57" s="55"/>
    </row>
    <row r="58" ht="16.5" spans="1:9">
      <c r="A58" s="38"/>
      <c r="B58" s="49" t="s">
        <v>106</v>
      </c>
      <c r="C58" s="50">
        <v>90</v>
      </c>
      <c r="D58" s="51">
        <f>E53+7</f>
        <v>46181</v>
      </c>
      <c r="E58" s="51">
        <f t="shared" si="5"/>
        <v>46271</v>
      </c>
      <c r="F58" s="51"/>
      <c r="G58" s="51"/>
      <c r="H58" s="52" t="s">
        <v>107</v>
      </c>
      <c r="I58" s="70" t="s">
        <v>108</v>
      </c>
    </row>
    <row r="59" ht="16.5" spans="1:9">
      <c r="A59" s="38"/>
      <c r="B59" s="45" t="s">
        <v>109</v>
      </c>
      <c r="C59" s="48">
        <v>1</v>
      </c>
      <c r="D59" s="25">
        <f>E54+3</f>
        <v>46193</v>
      </c>
      <c r="E59" s="25">
        <f t="shared" si="5"/>
        <v>46194</v>
      </c>
      <c r="F59" s="25"/>
      <c r="G59" s="25"/>
      <c r="H59" s="27" t="s">
        <v>110</v>
      </c>
      <c r="I59" s="67"/>
    </row>
    <row r="60" ht="16.5" spans="1:9">
      <c r="A60" s="53" t="s">
        <v>111</v>
      </c>
      <c r="B60" s="23" t="s">
        <v>112</v>
      </c>
      <c r="C60" s="24">
        <v>18</v>
      </c>
      <c r="D60" s="25">
        <f>E53+12</f>
        <v>46186</v>
      </c>
      <c r="E60" s="25">
        <f t="shared" ref="E60:E62" si="6">D60+C60+3</f>
        <v>46207</v>
      </c>
      <c r="F60" s="25"/>
      <c r="G60" s="25"/>
      <c r="H60" s="27" t="s">
        <v>22</v>
      </c>
      <c r="I60" s="67"/>
    </row>
    <row r="61" ht="16.5" spans="1:9">
      <c r="A61" s="53"/>
      <c r="B61" s="23" t="s">
        <v>113</v>
      </c>
      <c r="C61" s="24">
        <v>3</v>
      </c>
      <c r="D61" s="25">
        <f>E60+1</f>
        <v>46208</v>
      </c>
      <c r="E61" s="25">
        <f t="shared" si="6"/>
        <v>46214</v>
      </c>
      <c r="F61" s="25"/>
      <c r="G61" s="25"/>
      <c r="H61" s="27" t="s">
        <v>22</v>
      </c>
      <c r="I61" s="67"/>
    </row>
    <row r="62" ht="16.5" spans="1:9">
      <c r="A62" s="53"/>
      <c r="B62" s="23" t="s">
        <v>100</v>
      </c>
      <c r="C62" s="24">
        <v>30</v>
      </c>
      <c r="D62" s="25">
        <f>E53+7</f>
        <v>46181</v>
      </c>
      <c r="E62" s="25">
        <f t="shared" si="6"/>
        <v>46214</v>
      </c>
      <c r="F62" s="25"/>
      <c r="G62" s="25"/>
      <c r="H62" s="26" t="s">
        <v>46</v>
      </c>
      <c r="I62" s="67"/>
    </row>
    <row r="63" ht="16.5" spans="1:9">
      <c r="A63" s="53"/>
      <c r="B63" s="23" t="s">
        <v>85</v>
      </c>
      <c r="C63" s="24">
        <v>1</v>
      </c>
      <c r="D63" s="25">
        <f>E60-2</f>
        <v>46205</v>
      </c>
      <c r="E63" s="25">
        <f>D63+C63</f>
        <v>46206</v>
      </c>
      <c r="F63" s="25"/>
      <c r="G63" s="25"/>
      <c r="H63" s="26" t="s">
        <v>86</v>
      </c>
      <c r="I63" s="68"/>
    </row>
    <row r="64" ht="16.5" spans="1:9">
      <c r="A64" s="53"/>
      <c r="B64" s="23" t="s">
        <v>114</v>
      </c>
      <c r="C64" s="24">
        <v>1</v>
      </c>
      <c r="D64" s="25">
        <f>E63</f>
        <v>46206</v>
      </c>
      <c r="E64" s="25">
        <f>D64+C64</f>
        <v>46207</v>
      </c>
      <c r="F64" s="25"/>
      <c r="G64" s="25"/>
      <c r="H64" s="26" t="s">
        <v>12</v>
      </c>
      <c r="I64" s="68"/>
    </row>
    <row r="65" ht="16.5" spans="1:9">
      <c r="A65" s="53"/>
      <c r="B65" s="28" t="s">
        <v>115</v>
      </c>
      <c r="C65" s="29">
        <v>3</v>
      </c>
      <c r="D65" s="14">
        <f>E62+1</f>
        <v>46215</v>
      </c>
      <c r="E65" s="14">
        <f>D65+C65-1</f>
        <v>46217</v>
      </c>
      <c r="F65" s="14"/>
      <c r="G65" s="14"/>
      <c r="H65" s="30" t="s">
        <v>12</v>
      </c>
      <c r="I65" s="57"/>
    </row>
    <row r="66" ht="16.5" spans="1:9">
      <c r="A66" s="53"/>
      <c r="B66" s="45" t="s">
        <v>116</v>
      </c>
      <c r="C66" s="32">
        <v>10</v>
      </c>
      <c r="D66" s="33">
        <f>E65+1</f>
        <v>46218</v>
      </c>
      <c r="E66" s="47">
        <f t="shared" ref="E65:E73" si="7">D66+C66</f>
        <v>46228</v>
      </c>
      <c r="F66" s="47"/>
      <c r="G66" s="47"/>
      <c r="H66" s="27" t="s">
        <v>64</v>
      </c>
      <c r="I66" s="69"/>
    </row>
    <row r="67" ht="16.5" spans="1:9">
      <c r="A67" s="53"/>
      <c r="B67" s="45" t="s">
        <v>117</v>
      </c>
      <c r="C67" s="48">
        <v>10</v>
      </c>
      <c r="D67" s="25">
        <f>D66</f>
        <v>46218</v>
      </c>
      <c r="E67" s="47">
        <f t="shared" si="7"/>
        <v>46228</v>
      </c>
      <c r="F67" s="47"/>
      <c r="G67" s="47"/>
      <c r="H67" s="26" t="s">
        <v>93</v>
      </c>
      <c r="I67" s="55"/>
    </row>
    <row r="68" ht="16.5" spans="1:9">
      <c r="A68" s="53"/>
      <c r="B68" s="45" t="s">
        <v>60</v>
      </c>
      <c r="C68" s="48">
        <v>10</v>
      </c>
      <c r="D68" s="25">
        <f>E65</f>
        <v>46217</v>
      </c>
      <c r="E68" s="25">
        <f t="shared" si="7"/>
        <v>46227</v>
      </c>
      <c r="F68" s="25"/>
      <c r="G68" s="25"/>
      <c r="H68" s="26" t="s">
        <v>41</v>
      </c>
      <c r="I68" s="55"/>
    </row>
    <row r="69" ht="16.5" spans="1:9">
      <c r="A69" s="53"/>
      <c r="B69" s="45" t="s">
        <v>105</v>
      </c>
      <c r="C69" s="48">
        <v>7</v>
      </c>
      <c r="D69" s="25">
        <f>E65</f>
        <v>46217</v>
      </c>
      <c r="E69" s="25">
        <f t="shared" si="7"/>
        <v>46224</v>
      </c>
      <c r="F69" s="25"/>
      <c r="G69" s="25"/>
      <c r="H69" s="26" t="s">
        <v>95</v>
      </c>
      <c r="I69" s="55"/>
    </row>
    <row r="70" ht="16.5" spans="1:9">
      <c r="A70" s="53"/>
      <c r="B70" s="49" t="s">
        <v>118</v>
      </c>
      <c r="C70" s="50">
        <v>60</v>
      </c>
      <c r="D70" s="51">
        <f>E65+7</f>
        <v>46224</v>
      </c>
      <c r="E70" s="51">
        <f t="shared" si="7"/>
        <v>46284</v>
      </c>
      <c r="F70" s="51"/>
      <c r="G70" s="51"/>
      <c r="H70" s="52" t="s">
        <v>107</v>
      </c>
      <c r="I70" s="70"/>
    </row>
    <row r="71" ht="16.5" spans="1:9">
      <c r="A71" s="53"/>
      <c r="B71" s="45" t="s">
        <v>119</v>
      </c>
      <c r="C71" s="48">
        <v>1</v>
      </c>
      <c r="D71" s="25">
        <f>E67+2</f>
        <v>46230</v>
      </c>
      <c r="E71" s="25">
        <f t="shared" si="7"/>
        <v>46231</v>
      </c>
      <c r="F71" s="25"/>
      <c r="G71" s="25"/>
      <c r="H71" s="27" t="s">
        <v>12</v>
      </c>
      <c r="I71" s="70"/>
    </row>
    <row r="72" ht="16.5" spans="1:9">
      <c r="A72" s="53"/>
      <c r="B72" s="45" t="s">
        <v>120</v>
      </c>
      <c r="C72" s="48">
        <v>30</v>
      </c>
      <c r="D72" s="25">
        <f>E65+1</f>
        <v>46218</v>
      </c>
      <c r="E72" s="25">
        <f t="shared" si="7"/>
        <v>46248</v>
      </c>
      <c r="F72" s="25"/>
      <c r="G72" s="25"/>
      <c r="H72" s="27" t="s">
        <v>110</v>
      </c>
      <c r="I72" s="70"/>
    </row>
    <row r="73" ht="16.5" spans="1:9">
      <c r="A73" s="53" t="s">
        <v>121</v>
      </c>
      <c r="B73" s="45" t="s">
        <v>122</v>
      </c>
      <c r="C73" s="48">
        <v>1</v>
      </c>
      <c r="D73" s="25">
        <f>E67+1</f>
        <v>46229</v>
      </c>
      <c r="E73" s="25">
        <f t="shared" si="7"/>
        <v>46230</v>
      </c>
      <c r="F73" s="25"/>
      <c r="G73" s="25"/>
      <c r="H73" s="27" t="s">
        <v>29</v>
      </c>
      <c r="I73" s="67"/>
    </row>
    <row r="74" ht="16.5" spans="1:9">
      <c r="A74" s="53"/>
      <c r="B74" s="45" t="s">
        <v>123</v>
      </c>
      <c r="C74" s="48">
        <v>2</v>
      </c>
      <c r="D74" s="25">
        <f>E65+1</f>
        <v>46218</v>
      </c>
      <c r="E74" s="25">
        <f>D74+C74-1</f>
        <v>46219</v>
      </c>
      <c r="F74" s="25"/>
      <c r="G74" s="25"/>
      <c r="H74" s="27" t="s">
        <v>33</v>
      </c>
      <c r="I74" s="67"/>
    </row>
    <row r="75" ht="15" customHeight="1" spans="1:9">
      <c r="A75" s="53"/>
      <c r="B75" s="23" t="s">
        <v>124</v>
      </c>
      <c r="C75" s="48">
        <v>60</v>
      </c>
      <c r="D75" s="33">
        <f>E59+5</f>
        <v>46199</v>
      </c>
      <c r="E75" s="33">
        <f t="shared" ref="E75:E81" si="8">D75+C75</f>
        <v>46259</v>
      </c>
      <c r="F75" s="33"/>
      <c r="G75" s="33"/>
      <c r="H75" s="26" t="s">
        <v>12</v>
      </c>
      <c r="I75" s="79" t="s">
        <v>125</v>
      </c>
    </row>
    <row r="76" ht="16.5" spans="1:9">
      <c r="A76" s="53"/>
      <c r="B76" s="23" t="s">
        <v>126</v>
      </c>
      <c r="C76" s="32">
        <v>60</v>
      </c>
      <c r="D76" s="33">
        <f>D75</f>
        <v>46199</v>
      </c>
      <c r="E76" s="47">
        <f t="shared" si="8"/>
        <v>46259</v>
      </c>
      <c r="F76" s="47"/>
      <c r="G76" s="47"/>
      <c r="H76" s="27" t="s">
        <v>80</v>
      </c>
      <c r="I76" s="79" t="s">
        <v>127</v>
      </c>
    </row>
    <row r="77" ht="16.5" spans="1:9">
      <c r="A77" s="53"/>
      <c r="B77" s="23" t="s">
        <v>128</v>
      </c>
      <c r="C77" s="32">
        <v>45</v>
      </c>
      <c r="D77" s="25">
        <f>E74+1</f>
        <v>46220</v>
      </c>
      <c r="E77" s="34">
        <f t="shared" si="8"/>
        <v>46265</v>
      </c>
      <c r="F77" s="34"/>
      <c r="G77" s="34"/>
      <c r="H77" s="27" t="s">
        <v>80</v>
      </c>
      <c r="I77" s="79" t="s">
        <v>129</v>
      </c>
    </row>
    <row r="78" ht="16.5" spans="1:9">
      <c r="A78" s="53"/>
      <c r="B78" s="23" t="s">
        <v>130</v>
      </c>
      <c r="C78" s="32">
        <v>60</v>
      </c>
      <c r="D78" s="25">
        <f>D75</f>
        <v>46199</v>
      </c>
      <c r="E78" s="34">
        <f t="shared" si="8"/>
        <v>46259</v>
      </c>
      <c r="F78" s="34"/>
      <c r="G78" s="34"/>
      <c r="H78" s="27" t="s">
        <v>82</v>
      </c>
      <c r="I78" s="67"/>
    </row>
    <row r="79" ht="16.5" spans="1:9">
      <c r="A79" s="53"/>
      <c r="B79" s="23" t="s">
        <v>131</v>
      </c>
      <c r="C79" s="32">
        <v>3</v>
      </c>
      <c r="D79" s="25">
        <f>E75+2</f>
        <v>46261</v>
      </c>
      <c r="E79" s="34">
        <f t="shared" si="8"/>
        <v>46264</v>
      </c>
      <c r="F79" s="34"/>
      <c r="G79" s="34"/>
      <c r="H79" s="26" t="s">
        <v>12</v>
      </c>
      <c r="I79" s="67"/>
    </row>
    <row r="80" ht="16.5" spans="1:9">
      <c r="A80" s="53"/>
      <c r="B80" s="23" t="s">
        <v>132</v>
      </c>
      <c r="C80" s="24">
        <v>1</v>
      </c>
      <c r="D80" s="25">
        <f>E75-2</f>
        <v>46257</v>
      </c>
      <c r="E80" s="34">
        <f t="shared" si="8"/>
        <v>46258</v>
      </c>
      <c r="F80" s="34"/>
      <c r="G80" s="34"/>
      <c r="H80" s="26" t="s">
        <v>12</v>
      </c>
      <c r="I80" s="67"/>
    </row>
    <row r="81" ht="16.5" spans="1:9">
      <c r="A81" s="53"/>
      <c r="B81" s="23" t="s">
        <v>133</v>
      </c>
      <c r="C81" s="24">
        <v>1</v>
      </c>
      <c r="D81" s="25">
        <f>D80</f>
        <v>46257</v>
      </c>
      <c r="E81" s="34">
        <f t="shared" si="8"/>
        <v>46258</v>
      </c>
      <c r="F81" s="34"/>
      <c r="G81" s="34"/>
      <c r="H81" s="26" t="s">
        <v>134</v>
      </c>
      <c r="I81" s="67"/>
    </row>
    <row r="82" ht="16.5" spans="1:9">
      <c r="A82" s="53"/>
      <c r="B82" s="28" t="s">
        <v>135</v>
      </c>
      <c r="C82" s="29">
        <v>3</v>
      </c>
      <c r="D82" s="14">
        <f>E79+2</f>
        <v>46266</v>
      </c>
      <c r="E82" s="71">
        <f>D82+C82-1</f>
        <v>46268</v>
      </c>
      <c r="F82" s="71"/>
      <c r="G82" s="71"/>
      <c r="H82" s="30" t="s">
        <v>82</v>
      </c>
      <c r="I82" s="67"/>
    </row>
    <row r="83" ht="16.5" spans="1:9">
      <c r="A83" s="53"/>
      <c r="B83" s="31" t="s">
        <v>136</v>
      </c>
      <c r="C83" s="32">
        <v>5</v>
      </c>
      <c r="D83" s="33">
        <f>E82+1</f>
        <v>46269</v>
      </c>
      <c r="E83" s="47">
        <f>D83+C83</f>
        <v>46274</v>
      </c>
      <c r="F83" s="47"/>
      <c r="G83" s="47"/>
      <c r="H83" s="27" t="s">
        <v>64</v>
      </c>
      <c r="I83" s="67"/>
    </row>
    <row r="84" ht="16.5" spans="1:9">
      <c r="A84" s="53"/>
      <c r="B84" s="72" t="s">
        <v>137</v>
      </c>
      <c r="C84" s="73">
        <v>1</v>
      </c>
      <c r="D84" s="74">
        <f>E83+1</f>
        <v>46275</v>
      </c>
      <c r="E84" s="74">
        <f>D84</f>
        <v>46275</v>
      </c>
      <c r="F84" s="74"/>
      <c r="G84" s="74"/>
      <c r="H84" s="75" t="s">
        <v>12</v>
      </c>
      <c r="I84" s="57"/>
    </row>
    <row r="85" ht="16.5" spans="1:9">
      <c r="A85" s="53"/>
      <c r="B85" s="76" t="s">
        <v>138</v>
      </c>
      <c r="C85" s="77">
        <v>10</v>
      </c>
      <c r="D85" s="25">
        <f>E84</f>
        <v>46275</v>
      </c>
      <c r="E85" s="34">
        <f>D85+C85-1</f>
        <v>46284</v>
      </c>
      <c r="F85" s="34"/>
      <c r="G85" s="34"/>
      <c r="H85" s="26" t="s">
        <v>82</v>
      </c>
      <c r="I85" s="79" t="s">
        <v>139</v>
      </c>
    </row>
    <row r="86" spans="1:8">
      <c r="A86" s="3"/>
      <c r="B86" s="78"/>
      <c r="C86" s="78"/>
      <c r="D86" s="78"/>
      <c r="E86" s="78"/>
      <c r="F86" s="78"/>
      <c r="G86" s="78"/>
      <c r="H86" s="78"/>
    </row>
    <row r="87" spans="1:8">
      <c r="A87" s="3"/>
      <c r="B87" s="3"/>
      <c r="C87" s="78"/>
      <c r="D87" s="78"/>
      <c r="E87" s="78"/>
      <c r="F87" s="78"/>
      <c r="G87" s="78"/>
      <c r="H87" s="78"/>
    </row>
    <row r="88" spans="1:8">
      <c r="A88" s="3"/>
      <c r="B88" s="78"/>
      <c r="C88" s="78"/>
      <c r="D88" s="78"/>
      <c r="E88" s="78"/>
      <c r="F88" s="78"/>
      <c r="G88" s="78"/>
      <c r="H88" s="78"/>
    </row>
  </sheetData>
  <mergeCells count="7">
    <mergeCell ref="B1:I1"/>
    <mergeCell ref="A3:A15"/>
    <mergeCell ref="A16:A32"/>
    <mergeCell ref="A33:A47"/>
    <mergeCell ref="A48:A59"/>
    <mergeCell ref="A60:A72"/>
    <mergeCell ref="A73:A85"/>
  </mergeCells>
  <pageMargins left="0.75" right="0.75" top="1" bottom="1" header="0.511805555555556" footer="0.511805555555556"/>
  <headerFooter/>
  <ignoredErrors>
    <ignoredError sqref="E49:E50 E32 E38 E20 E74 E65 E82 E84 E22 D14 D23 E17 D26:D27 E27 D34:D3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L19" sqref="L19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主计划</vt:lpstr>
      <vt:lpstr>延期原因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xialiu</dc:creator>
  <cp:lastModifiedBy>WPS</cp:lastModifiedBy>
  <cp:revision>1</cp:revision>
  <dcterms:created xsi:type="dcterms:W3CDTF">2018-09-05T02:52:00Z</dcterms:created>
  <dcterms:modified xsi:type="dcterms:W3CDTF">2026-02-28T11:00:09Z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2052-12.8.2.17838</vt:lpwstr>
  </property>
  <property fmtid="{D5CDD505-2E9C-101B-9397-08002B2CF9AE}" pid="3" name="ICV">
    <vt:lpwstr>25BC0ED6B02445C0B2136DDCC364401F_13</vt:lpwstr>
  </property>
</Properties>
</file>